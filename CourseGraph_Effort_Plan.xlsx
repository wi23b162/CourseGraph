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mbarirfan/Desktop/Software Projekt/coursegraph/"/>
    </mc:Choice>
  </mc:AlternateContent>
  <xr:revisionPtr revIDLastSave="0" documentId="13_ncr:1_{B24FF2F1-933E-AF4F-BDD6-52C88ADCE71C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Effort Plan" sheetId="1" r:id="rId1"/>
    <sheet name="Team Assign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" l="1"/>
  <c r="E50" i="1"/>
  <c r="E52" i="1"/>
  <c r="E51" i="1"/>
</calcChain>
</file>

<file path=xl/sharedStrings.xml><?xml version="1.0" encoding="utf-8"?>
<sst xmlns="http://schemas.openxmlformats.org/spreadsheetml/2006/main" count="253" uniqueCount="157">
  <si>
    <t>CourseGraph - Effort Plan</t>
  </si>
  <si>
    <t>FH Technikum Wien - Software Engineering Project</t>
  </si>
  <si>
    <t>ID</t>
  </si>
  <si>
    <t>Task / Feature</t>
  </si>
  <si>
    <t>Category</t>
  </si>
  <si>
    <t>Priority</t>
  </si>
  <si>
    <t>Estimated Hours</t>
  </si>
  <si>
    <t>Assigned To</t>
  </si>
  <si>
    <t>Status</t>
  </si>
  <si>
    <t>Notes</t>
  </si>
  <si>
    <t>Phase 1: Setup &amp; Infrastructure</t>
  </si>
  <si>
    <t>1.1</t>
  </si>
  <si>
    <t>Project Setup (Electron + React + Vite)</t>
  </si>
  <si>
    <t>Setup</t>
  </si>
  <si>
    <t>High</t>
  </si>
  <si>
    <t>Team</t>
  </si>
  <si>
    <t>Done ✓</t>
  </si>
  <si>
    <t>Initial configuration</t>
  </si>
  <si>
    <t>1.2</t>
  </si>
  <si>
    <t>Git Repository &amp; GitHub Setup</t>
  </si>
  <si>
    <t>Version control</t>
  </si>
  <si>
    <t>1.3</t>
  </si>
  <si>
    <t>Development Environment Setup</t>
  </si>
  <si>
    <t>VS Code, Node.js, npm</t>
  </si>
  <si>
    <t>1.4</t>
  </si>
  <si>
    <t>ReactFlow Integration</t>
  </si>
  <si>
    <t>Graph library setup</t>
  </si>
  <si>
    <t>Phase 2: Core Functionality (FR1-FR3)</t>
  </si>
  <si>
    <t>2.1</t>
  </si>
  <si>
    <t>Custom Node Components</t>
  </si>
  <si>
    <t>Development</t>
  </si>
  <si>
    <t>Developer 1</t>
  </si>
  <si>
    <t>LEO &amp; Assessment nodes</t>
  </si>
  <si>
    <t>2.2</t>
  </si>
  <si>
    <t>Node Create/Edit/Delete (FR1)</t>
  </si>
  <si>
    <t>CRUD operations</t>
  </si>
  <si>
    <t>2.3</t>
  </si>
  <si>
    <t>Add Node Dialog with Type Selection</t>
  </si>
  <si>
    <t>Developer 2</t>
  </si>
  <si>
    <t>User interface</t>
  </si>
  <si>
    <t>2.4</t>
  </si>
  <si>
    <t>Connect Nodes (FR2)</t>
  </si>
  <si>
    <t>In Progress</t>
  </si>
  <si>
    <t>Drag &amp; drop connections</t>
  </si>
  <si>
    <t>2.5</t>
  </si>
  <si>
    <t>Interactive Graph Navigation (FR3)</t>
  </si>
  <si>
    <t>Developer 3</t>
  </si>
  <si>
    <t>Zoom, pan, drag</t>
  </si>
  <si>
    <t>2.6</t>
  </si>
  <si>
    <t>Edge Labels &amp; Types</t>
  </si>
  <si>
    <t>Medium</t>
  </si>
  <si>
    <t>To Do</t>
  </si>
  <si>
    <t>requires/implies/tests</t>
  </si>
  <si>
    <t>Phase 3: Visual Design (FR4)</t>
  </si>
  <si>
    <t>3.1</t>
  </si>
  <si>
    <t>Node Styling &amp; Color Scheme</t>
  </si>
  <si>
    <t>Design</t>
  </si>
  <si>
    <t>Blue/Green differentiation</t>
  </si>
  <si>
    <t>3.2</t>
  </si>
  <si>
    <t>Node Badges (LEO/Assessment)</t>
  </si>
  <si>
    <t>Visual indicators</t>
  </si>
  <si>
    <t>3.3</t>
  </si>
  <si>
    <t>Toolbar &amp; UI Components</t>
  </si>
  <si>
    <t>Developer 4</t>
  </si>
  <si>
    <t>Modern interface</t>
  </si>
  <si>
    <t>3.4</t>
  </si>
  <si>
    <t>MiniMap Styling</t>
  </si>
  <si>
    <t>Low</t>
  </si>
  <si>
    <t>Overview component</t>
  </si>
  <si>
    <t>3.5</t>
  </si>
  <si>
    <t>Responsive Layout</t>
  </si>
  <si>
    <t>Different screen sizes</t>
  </si>
  <si>
    <t>Phase 4: Save/Load/Export (FR5)</t>
  </si>
  <si>
    <t>4.1</t>
  </si>
  <si>
    <t>Save Graph as JSON</t>
  </si>
  <si>
    <t>Local file storage</t>
  </si>
  <si>
    <t>4.2</t>
  </si>
  <si>
    <t>Load Graph from JSON</t>
  </si>
  <si>
    <t>File parsing</t>
  </si>
  <si>
    <t>4.3</t>
  </si>
  <si>
    <t>Export as PNG</t>
  </si>
  <si>
    <t>Image generation</t>
  </si>
  <si>
    <t>4.4</t>
  </si>
  <si>
    <t>Export as Excel</t>
  </si>
  <si>
    <t>Spreadsheet export</t>
  </si>
  <si>
    <t>4.5</t>
  </si>
  <si>
    <t>Auto-Save Functionality</t>
  </si>
  <si>
    <t>Periodic saving</t>
  </si>
  <si>
    <t>Phase 5: Advanced Features (FR6)</t>
  </si>
  <si>
    <t>5.1</t>
  </si>
  <si>
    <t>Auto-Layout Algorithm</t>
  </si>
  <si>
    <t>Graph organization</t>
  </si>
  <si>
    <t>5.2</t>
  </si>
  <si>
    <t>Reset/New Project Dialog</t>
  </si>
  <si>
    <t>Confirmation dialogs</t>
  </si>
  <si>
    <t>5.3</t>
  </si>
  <si>
    <t>Undo/Redo Functionality</t>
  </si>
  <si>
    <t>History management</t>
  </si>
  <si>
    <t>5.4</t>
  </si>
  <si>
    <t>Search &amp; Filter Nodes</t>
  </si>
  <si>
    <t>Search functionality</t>
  </si>
  <si>
    <t>Phase 6: Testing &amp; Quality Assurance</t>
  </si>
  <si>
    <t>6.1</t>
  </si>
  <si>
    <t>Unit Tests (Components)</t>
  </si>
  <si>
    <t>Testing</t>
  </si>
  <si>
    <t>Jest/React Testing</t>
  </si>
  <si>
    <t>6.2</t>
  </si>
  <si>
    <t>Integration Tests</t>
  </si>
  <si>
    <t>Full workflow tests</t>
  </si>
  <si>
    <t>6.3</t>
  </si>
  <si>
    <t>Usability Testing (NFR1)</t>
  </si>
  <si>
    <t>User acceptance</t>
  </si>
  <si>
    <t>6.4</t>
  </si>
  <si>
    <t>Performance Testing (NFR2)</t>
  </si>
  <si>
    <t>100+ nodes test</t>
  </si>
  <si>
    <t>6.5</t>
  </si>
  <si>
    <t>Accessibility Testing (NFR4)</t>
  </si>
  <si>
    <t>Keyboard navigation</t>
  </si>
  <si>
    <t>6.6</t>
  </si>
  <si>
    <t>Bug Fixes &amp; Polish</t>
  </si>
  <si>
    <t>Final improvements</t>
  </si>
  <si>
    <t>Phase 7: Documentation &amp; Deployment</t>
  </si>
  <si>
    <t>7.1</t>
  </si>
  <si>
    <t>User Documentation</t>
  </si>
  <si>
    <t>Documentation</t>
  </si>
  <si>
    <t>User guide</t>
  </si>
  <si>
    <t>7.2</t>
  </si>
  <si>
    <t>Technical Documentation</t>
  </si>
  <si>
    <t>Architecture docs</t>
  </si>
  <si>
    <t>7.3</t>
  </si>
  <si>
    <t>README.md</t>
  </si>
  <si>
    <t>GitHub documentation</t>
  </si>
  <si>
    <t>7.4</t>
  </si>
  <si>
    <t>Build &amp; Package App</t>
  </si>
  <si>
    <t>Deployment</t>
  </si>
  <si>
    <t>Distribution packages</t>
  </si>
  <si>
    <t>7.5</t>
  </si>
  <si>
    <t>Final Presentation</t>
  </si>
  <si>
    <t>Project presentation</t>
  </si>
  <si>
    <t>Summary &amp; Totals</t>
  </si>
  <si>
    <t>Total Estimated Hours:</t>
  </si>
  <si>
    <t>Tasks Completed:</t>
  </si>
  <si>
    <t>Tasks In Progress:</t>
  </si>
  <si>
    <t>Tasks To Do:</t>
  </si>
  <si>
    <t>Team Member Allocation</t>
  </si>
  <si>
    <t>Team Member</t>
  </si>
  <si>
    <t>Total Hours</t>
  </si>
  <si>
    <t>Completed Hours</t>
  </si>
  <si>
    <t>Remaining Hours</t>
  </si>
  <si>
    <t>Progress %</t>
  </si>
  <si>
    <t>50%</t>
  </si>
  <si>
    <t>14%</t>
  </si>
  <si>
    <t>62%</t>
  </si>
  <si>
    <t>44%</t>
  </si>
  <si>
    <t>52%</t>
  </si>
  <si>
    <t>Ambar</t>
  </si>
  <si>
    <t>Actual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</si>
</sst>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1E293B"/>
      <name val="Calibri"/>
      <family val="2"/>
    </font>
    <font>
      <sz val="11"/>
      <color rgb="FF64748B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B82F6"/>
        <bgColor rgb="FF3B82F6"/>
      </patternFill>
    </fill>
    <fill>
      <patternFill patternType="solid">
        <fgColor rgb="FFE0E7FF"/>
        <bgColor rgb="FFE0E7FF"/>
      </patternFill>
    </fill>
    <fill>
      <patternFill patternType="solid">
        <fgColor rgb="FFDBEAFE"/>
        <bgColor rgb="FFDBEAFE"/>
      </patternFill>
    </fill>
    <fill>
      <patternFill patternType="solid">
        <fgColor rgb="FFFCE7F3"/>
        <bgColor rgb="FFFCE7F3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</fills>
  <borders count="4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7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right"/>
    </xf>
    <xf numFmtId="0" fontId="0" fillId="0" borderId="0" xfId="0"/>
    <xf numFmtId="0" fontId="4" fillId="3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8" customWidth="1"/>
    <col min="2" max="2" width="40" customWidth="1"/>
    <col min="3" max="3" width="18" customWidth="1"/>
    <col min="4" max="4" width="12" customWidth="1"/>
    <col min="5" max="7" width="15" customWidth="1"/>
    <col min="8" max="8" width="12" customWidth="1"/>
    <col min="9" max="9" width="30" customWidth="1"/>
  </cols>
  <sheetData>
    <row r="1" spans="1:9" ht="21" x14ac:dyDescent="0.2">
      <c r="A1" s="24" t="s">
        <v>0</v>
      </c>
      <c r="B1" s="19"/>
      <c r="C1" s="19"/>
      <c r="D1" s="19"/>
      <c r="E1" s="19"/>
      <c r="F1" s="19"/>
      <c r="G1" s="19"/>
      <c r="H1" s="19"/>
      <c r="I1" s="19"/>
    </row>
    <row r="2" spans="1:9" x14ac:dyDescent="0.2">
      <c r="A2" s="26" t="s">
        <v>1</v>
      </c>
      <c r="B2" s="19"/>
      <c r="C2" s="19"/>
      <c r="D2" s="19"/>
      <c r="E2" s="19"/>
      <c r="F2" s="19"/>
      <c r="G2" s="19"/>
      <c r="H2" s="19"/>
      <c r="I2" s="19"/>
    </row>
    <row r="3" spans="1:9" ht="5" customHeight="1" x14ac:dyDescent="0.2"/>
    <row r="4" spans="1:9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156</v>
      </c>
      <c r="G4" s="1" t="s">
        <v>7</v>
      </c>
      <c r="H4" s="1" t="s">
        <v>8</v>
      </c>
      <c r="I4" s="1" t="s">
        <v>9</v>
      </c>
    </row>
    <row r="5" spans="1:9" x14ac:dyDescent="0.2">
      <c r="A5" s="20" t="s">
        <v>10</v>
      </c>
      <c r="B5" s="21"/>
      <c r="C5" s="21"/>
      <c r="D5" s="21"/>
      <c r="E5" s="21"/>
      <c r="F5" s="21"/>
      <c r="G5" s="21"/>
      <c r="H5" s="21"/>
      <c r="I5" s="22"/>
    </row>
    <row r="6" spans="1:9" x14ac:dyDescent="0.2">
      <c r="A6" s="2" t="s">
        <v>11</v>
      </c>
      <c r="B6" s="3" t="s">
        <v>12</v>
      </c>
      <c r="C6" s="2" t="s">
        <v>13</v>
      </c>
      <c r="D6" s="2" t="s">
        <v>14</v>
      </c>
      <c r="E6" s="2">
        <v>4</v>
      </c>
      <c r="F6" s="2">
        <v>4</v>
      </c>
      <c r="G6" s="2" t="s">
        <v>155</v>
      </c>
      <c r="H6" s="2" t="s">
        <v>16</v>
      </c>
      <c r="I6" s="3" t="s">
        <v>17</v>
      </c>
    </row>
    <row r="7" spans="1:9" x14ac:dyDescent="0.2">
      <c r="A7" s="2" t="s">
        <v>18</v>
      </c>
      <c r="B7" s="3" t="s">
        <v>19</v>
      </c>
      <c r="C7" s="2" t="s">
        <v>13</v>
      </c>
      <c r="D7" s="2" t="s">
        <v>14</v>
      </c>
      <c r="E7" s="2">
        <v>2</v>
      </c>
      <c r="F7" s="2">
        <v>2.5</v>
      </c>
      <c r="G7" s="2" t="s">
        <v>155</v>
      </c>
      <c r="H7" s="2" t="s">
        <v>16</v>
      </c>
      <c r="I7" s="3" t="s">
        <v>20</v>
      </c>
    </row>
    <row r="8" spans="1:9" x14ac:dyDescent="0.2">
      <c r="A8" s="2" t="s">
        <v>21</v>
      </c>
      <c r="B8" s="3" t="s">
        <v>22</v>
      </c>
      <c r="C8" s="2" t="s">
        <v>13</v>
      </c>
      <c r="D8" s="2" t="s">
        <v>14</v>
      </c>
      <c r="E8" s="2">
        <v>3</v>
      </c>
      <c r="F8" s="2">
        <v>4</v>
      </c>
      <c r="G8" s="2" t="s">
        <v>155</v>
      </c>
      <c r="H8" s="2" t="s">
        <v>16</v>
      </c>
      <c r="I8" s="3" t="s">
        <v>23</v>
      </c>
    </row>
    <row r="9" spans="1:9" x14ac:dyDescent="0.2">
      <c r="A9" s="2" t="s">
        <v>24</v>
      </c>
      <c r="B9" s="3" t="s">
        <v>25</v>
      </c>
      <c r="C9" s="2" t="s">
        <v>13</v>
      </c>
      <c r="D9" s="2" t="s">
        <v>14</v>
      </c>
      <c r="E9" s="2">
        <v>4</v>
      </c>
      <c r="F9" s="2">
        <v>4</v>
      </c>
      <c r="G9" s="2" t="s">
        <v>155</v>
      </c>
      <c r="H9" s="2" t="s">
        <v>16</v>
      </c>
      <c r="I9" s="3" t="s">
        <v>26</v>
      </c>
    </row>
    <row r="10" spans="1:9" x14ac:dyDescent="0.2">
      <c r="A10" s="20" t="s">
        <v>27</v>
      </c>
      <c r="B10" s="21"/>
      <c r="C10" s="21"/>
      <c r="D10" s="21"/>
      <c r="E10" s="21"/>
      <c r="F10" s="21"/>
      <c r="G10" s="21"/>
      <c r="H10" s="21"/>
      <c r="I10" s="22"/>
    </row>
    <row r="11" spans="1:9" x14ac:dyDescent="0.2">
      <c r="A11" s="4" t="s">
        <v>28</v>
      </c>
      <c r="B11" s="5" t="s">
        <v>29</v>
      </c>
      <c r="C11" s="4" t="s">
        <v>30</v>
      </c>
      <c r="D11" s="4" t="s">
        <v>14</v>
      </c>
      <c r="E11" s="4">
        <v>8</v>
      </c>
      <c r="F11" s="4"/>
      <c r="G11" s="4"/>
      <c r="H11" s="4" t="s">
        <v>16</v>
      </c>
      <c r="I11" s="5" t="s">
        <v>32</v>
      </c>
    </row>
    <row r="12" spans="1:9" x14ac:dyDescent="0.2">
      <c r="A12" s="4" t="s">
        <v>33</v>
      </c>
      <c r="B12" s="5" t="s">
        <v>34</v>
      </c>
      <c r="C12" s="4" t="s">
        <v>30</v>
      </c>
      <c r="D12" s="4" t="s">
        <v>14</v>
      </c>
      <c r="E12" s="4">
        <v>12</v>
      </c>
      <c r="F12" s="4"/>
      <c r="G12" s="4"/>
      <c r="H12" s="4" t="s">
        <v>16</v>
      </c>
      <c r="I12" s="5" t="s">
        <v>35</v>
      </c>
    </row>
    <row r="13" spans="1:9" x14ac:dyDescent="0.2">
      <c r="A13" s="4" t="s">
        <v>36</v>
      </c>
      <c r="B13" s="5" t="s">
        <v>37</v>
      </c>
      <c r="C13" s="4" t="s">
        <v>30</v>
      </c>
      <c r="D13" s="4" t="s">
        <v>14</v>
      </c>
      <c r="E13" s="4">
        <v>6</v>
      </c>
      <c r="F13" s="4"/>
      <c r="G13" s="4"/>
      <c r="H13" s="4" t="s">
        <v>16</v>
      </c>
      <c r="I13" s="5" t="s">
        <v>39</v>
      </c>
    </row>
    <row r="14" spans="1:9" x14ac:dyDescent="0.2">
      <c r="A14" s="4" t="s">
        <v>40</v>
      </c>
      <c r="B14" s="5" t="s">
        <v>41</v>
      </c>
      <c r="C14" s="4" t="s">
        <v>30</v>
      </c>
      <c r="D14" s="4" t="s">
        <v>14</v>
      </c>
      <c r="E14" s="4">
        <v>10</v>
      </c>
      <c r="F14" s="4"/>
      <c r="G14" s="4"/>
      <c r="H14" s="4" t="s">
        <v>42</v>
      </c>
      <c r="I14" s="5" t="s">
        <v>43</v>
      </c>
    </row>
    <row r="15" spans="1:9" x14ac:dyDescent="0.2">
      <c r="A15" s="4" t="s">
        <v>44</v>
      </c>
      <c r="B15" s="5" t="s">
        <v>45</v>
      </c>
      <c r="C15" s="4" t="s">
        <v>30</v>
      </c>
      <c r="D15" s="4" t="s">
        <v>14</v>
      </c>
      <c r="E15" s="4">
        <v>8</v>
      </c>
      <c r="F15" s="4"/>
      <c r="G15" s="4"/>
      <c r="H15" s="4" t="s">
        <v>16</v>
      </c>
      <c r="I15" s="5" t="s">
        <v>47</v>
      </c>
    </row>
    <row r="16" spans="1:9" x14ac:dyDescent="0.2">
      <c r="A16" s="4" t="s">
        <v>48</v>
      </c>
      <c r="B16" s="5" t="s">
        <v>49</v>
      </c>
      <c r="C16" s="4" t="s">
        <v>30</v>
      </c>
      <c r="D16" s="4" t="s">
        <v>50</v>
      </c>
      <c r="E16" s="4">
        <v>6</v>
      </c>
      <c r="F16" s="4"/>
      <c r="G16" s="4"/>
      <c r="H16" s="4" t="s">
        <v>51</v>
      </c>
      <c r="I16" s="5" t="s">
        <v>52</v>
      </c>
    </row>
    <row r="17" spans="1:9" x14ac:dyDescent="0.2">
      <c r="A17" s="20" t="s">
        <v>53</v>
      </c>
      <c r="B17" s="21"/>
      <c r="C17" s="21"/>
      <c r="D17" s="21"/>
      <c r="E17" s="21"/>
      <c r="F17" s="21"/>
      <c r="G17" s="21"/>
      <c r="H17" s="21"/>
      <c r="I17" s="22"/>
    </row>
    <row r="18" spans="1:9" x14ac:dyDescent="0.2">
      <c r="A18" s="6" t="s">
        <v>54</v>
      </c>
      <c r="B18" s="7" t="s">
        <v>55</v>
      </c>
      <c r="C18" s="6" t="s">
        <v>56</v>
      </c>
      <c r="D18" s="6" t="s">
        <v>14</v>
      </c>
      <c r="E18" s="6">
        <v>4</v>
      </c>
      <c r="F18" s="6"/>
      <c r="G18" s="6"/>
      <c r="H18" s="6" t="s">
        <v>16</v>
      </c>
      <c r="I18" s="7" t="s">
        <v>57</v>
      </c>
    </row>
    <row r="19" spans="1:9" x14ac:dyDescent="0.2">
      <c r="A19" s="6" t="s">
        <v>58</v>
      </c>
      <c r="B19" s="7" t="s">
        <v>59</v>
      </c>
      <c r="C19" s="6" t="s">
        <v>56</v>
      </c>
      <c r="D19" s="6" t="s">
        <v>50</v>
      </c>
      <c r="E19" s="6">
        <v>3</v>
      </c>
      <c r="F19" s="6"/>
      <c r="G19" s="6"/>
      <c r="H19" s="6" t="s">
        <v>16</v>
      </c>
      <c r="I19" s="7" t="s">
        <v>60</v>
      </c>
    </row>
    <row r="20" spans="1:9" x14ac:dyDescent="0.2">
      <c r="A20" s="6" t="s">
        <v>61</v>
      </c>
      <c r="B20" s="7" t="s">
        <v>62</v>
      </c>
      <c r="C20" s="6" t="s">
        <v>56</v>
      </c>
      <c r="D20" s="6" t="s">
        <v>14</v>
      </c>
      <c r="E20" s="6">
        <v>6</v>
      </c>
      <c r="F20" s="6"/>
      <c r="G20" s="6"/>
      <c r="H20" s="6" t="s">
        <v>16</v>
      </c>
      <c r="I20" s="7" t="s">
        <v>64</v>
      </c>
    </row>
    <row r="21" spans="1:9" x14ac:dyDescent="0.2">
      <c r="A21" s="6" t="s">
        <v>65</v>
      </c>
      <c r="B21" s="7" t="s">
        <v>66</v>
      </c>
      <c r="C21" s="6" t="s">
        <v>56</v>
      </c>
      <c r="D21" s="6" t="s">
        <v>67</v>
      </c>
      <c r="E21" s="6">
        <v>2</v>
      </c>
      <c r="F21" s="6"/>
      <c r="G21" s="6"/>
      <c r="H21" s="6" t="s">
        <v>16</v>
      </c>
      <c r="I21" s="7" t="s">
        <v>68</v>
      </c>
    </row>
    <row r="22" spans="1:9" x14ac:dyDescent="0.2">
      <c r="A22" s="6" t="s">
        <v>69</v>
      </c>
      <c r="B22" s="7" t="s">
        <v>70</v>
      </c>
      <c r="C22" s="6" t="s">
        <v>56</v>
      </c>
      <c r="D22" s="6" t="s">
        <v>50</v>
      </c>
      <c r="E22" s="6">
        <v>4</v>
      </c>
      <c r="F22" s="6"/>
      <c r="G22" s="6"/>
      <c r="H22" s="6" t="s">
        <v>51</v>
      </c>
      <c r="I22" s="7" t="s">
        <v>71</v>
      </c>
    </row>
    <row r="23" spans="1:9" x14ac:dyDescent="0.2">
      <c r="A23" s="20" t="s">
        <v>72</v>
      </c>
      <c r="B23" s="21"/>
      <c r="C23" s="21"/>
      <c r="D23" s="21"/>
      <c r="E23" s="21"/>
      <c r="F23" s="21"/>
      <c r="G23" s="21"/>
      <c r="H23" s="21"/>
      <c r="I23" s="22"/>
    </row>
    <row r="24" spans="1:9" x14ac:dyDescent="0.2">
      <c r="A24" s="4" t="s">
        <v>73</v>
      </c>
      <c r="B24" s="5" t="s">
        <v>74</v>
      </c>
      <c r="C24" s="4" t="s">
        <v>30</v>
      </c>
      <c r="D24" s="4" t="s">
        <v>14</v>
      </c>
      <c r="E24" s="4">
        <v>8</v>
      </c>
      <c r="F24" s="4"/>
      <c r="G24" s="4"/>
      <c r="H24" s="4" t="s">
        <v>51</v>
      </c>
      <c r="I24" s="5" t="s">
        <v>75</v>
      </c>
    </row>
    <row r="25" spans="1:9" x14ac:dyDescent="0.2">
      <c r="A25" s="4" t="s">
        <v>76</v>
      </c>
      <c r="B25" s="5" t="s">
        <v>77</v>
      </c>
      <c r="C25" s="4" t="s">
        <v>30</v>
      </c>
      <c r="D25" s="4" t="s">
        <v>14</v>
      </c>
      <c r="E25" s="4">
        <v>6</v>
      </c>
      <c r="F25" s="4"/>
      <c r="G25" s="4"/>
      <c r="H25" s="4" t="s">
        <v>51</v>
      </c>
      <c r="I25" s="5" t="s">
        <v>78</v>
      </c>
    </row>
    <row r="26" spans="1:9" x14ac:dyDescent="0.2">
      <c r="A26" s="4" t="s">
        <v>79</v>
      </c>
      <c r="B26" s="5" t="s">
        <v>80</v>
      </c>
      <c r="C26" s="4" t="s">
        <v>30</v>
      </c>
      <c r="D26" s="4" t="s">
        <v>50</v>
      </c>
      <c r="E26" s="4">
        <v>10</v>
      </c>
      <c r="F26" s="4"/>
      <c r="G26" s="4"/>
      <c r="H26" s="4" t="s">
        <v>51</v>
      </c>
      <c r="I26" s="5" t="s">
        <v>81</v>
      </c>
    </row>
    <row r="27" spans="1:9" x14ac:dyDescent="0.2">
      <c r="A27" s="4" t="s">
        <v>82</v>
      </c>
      <c r="B27" s="5" t="s">
        <v>83</v>
      </c>
      <c r="C27" s="4" t="s">
        <v>30</v>
      </c>
      <c r="D27" s="4" t="s">
        <v>50</v>
      </c>
      <c r="E27" s="4">
        <v>12</v>
      </c>
      <c r="F27" s="4"/>
      <c r="G27" s="4"/>
      <c r="H27" s="4" t="s">
        <v>51</v>
      </c>
      <c r="I27" s="5" t="s">
        <v>84</v>
      </c>
    </row>
    <row r="28" spans="1:9" x14ac:dyDescent="0.2">
      <c r="A28" s="4" t="s">
        <v>85</v>
      </c>
      <c r="B28" s="5" t="s">
        <v>86</v>
      </c>
      <c r="C28" s="4" t="s">
        <v>30</v>
      </c>
      <c r="D28" s="4" t="s">
        <v>67</v>
      </c>
      <c r="E28" s="4">
        <v>6</v>
      </c>
      <c r="F28" s="4"/>
      <c r="G28" s="4"/>
      <c r="H28" s="4" t="s">
        <v>51</v>
      </c>
      <c r="I28" s="5" t="s">
        <v>87</v>
      </c>
    </row>
    <row r="29" spans="1:9" x14ac:dyDescent="0.2">
      <c r="A29" s="20" t="s">
        <v>88</v>
      </c>
      <c r="B29" s="21"/>
      <c r="C29" s="21"/>
      <c r="D29" s="21"/>
      <c r="E29" s="21"/>
      <c r="F29" s="21"/>
      <c r="G29" s="21"/>
      <c r="H29" s="21"/>
      <c r="I29" s="22"/>
    </row>
    <row r="30" spans="1:9" x14ac:dyDescent="0.2">
      <c r="A30" s="4" t="s">
        <v>89</v>
      </c>
      <c r="B30" s="5" t="s">
        <v>90</v>
      </c>
      <c r="C30" s="4" t="s">
        <v>30</v>
      </c>
      <c r="D30" s="4" t="s">
        <v>50</v>
      </c>
      <c r="E30" s="4">
        <v>10</v>
      </c>
      <c r="F30" s="4"/>
      <c r="G30" s="4"/>
      <c r="H30" s="4" t="s">
        <v>51</v>
      </c>
      <c r="I30" s="5" t="s">
        <v>91</v>
      </c>
    </row>
    <row r="31" spans="1:9" x14ac:dyDescent="0.2">
      <c r="A31" s="4" t="s">
        <v>92</v>
      </c>
      <c r="B31" s="5" t="s">
        <v>93</v>
      </c>
      <c r="C31" s="4" t="s">
        <v>30</v>
      </c>
      <c r="D31" s="4" t="s">
        <v>50</v>
      </c>
      <c r="E31" s="4">
        <v>4</v>
      </c>
      <c r="F31" s="4"/>
      <c r="G31" s="4"/>
      <c r="H31" s="4" t="s">
        <v>51</v>
      </c>
      <c r="I31" s="5" t="s">
        <v>94</v>
      </c>
    </row>
    <row r="32" spans="1:9" x14ac:dyDescent="0.2">
      <c r="A32" s="4" t="s">
        <v>95</v>
      </c>
      <c r="B32" s="5" t="s">
        <v>96</v>
      </c>
      <c r="C32" s="4" t="s">
        <v>30</v>
      </c>
      <c r="D32" s="4" t="s">
        <v>67</v>
      </c>
      <c r="E32" s="4">
        <v>12</v>
      </c>
      <c r="F32" s="4"/>
      <c r="G32" s="4"/>
      <c r="H32" s="4" t="s">
        <v>51</v>
      </c>
      <c r="I32" s="5" t="s">
        <v>97</v>
      </c>
    </row>
    <row r="33" spans="1:9" x14ac:dyDescent="0.2">
      <c r="A33" s="4" t="s">
        <v>98</v>
      </c>
      <c r="B33" s="5" t="s">
        <v>99</v>
      </c>
      <c r="C33" s="4" t="s">
        <v>30</v>
      </c>
      <c r="D33" s="4" t="s">
        <v>67</v>
      </c>
      <c r="E33" s="4">
        <v>8</v>
      </c>
      <c r="F33" s="4"/>
      <c r="G33" s="4"/>
      <c r="H33" s="4" t="s">
        <v>51</v>
      </c>
      <c r="I33" s="5" t="s">
        <v>100</v>
      </c>
    </row>
    <row r="34" spans="1:9" x14ac:dyDescent="0.2">
      <c r="A34" s="20" t="s">
        <v>101</v>
      </c>
      <c r="B34" s="21"/>
      <c r="C34" s="21"/>
      <c r="D34" s="21"/>
      <c r="E34" s="21"/>
      <c r="F34" s="21"/>
      <c r="G34" s="21"/>
      <c r="H34" s="21"/>
      <c r="I34" s="22"/>
    </row>
    <row r="35" spans="1:9" x14ac:dyDescent="0.2">
      <c r="A35" s="8" t="s">
        <v>102</v>
      </c>
      <c r="B35" s="9" t="s">
        <v>103</v>
      </c>
      <c r="C35" s="8" t="s">
        <v>104</v>
      </c>
      <c r="D35" s="8" t="s">
        <v>14</v>
      </c>
      <c r="E35" s="8">
        <v>10</v>
      </c>
      <c r="F35" s="8"/>
      <c r="G35" s="8"/>
      <c r="H35" s="8" t="s">
        <v>51</v>
      </c>
      <c r="I35" s="9" t="s">
        <v>105</v>
      </c>
    </row>
    <row r="36" spans="1:9" x14ac:dyDescent="0.2">
      <c r="A36" s="8" t="s">
        <v>106</v>
      </c>
      <c r="B36" s="9" t="s">
        <v>107</v>
      </c>
      <c r="C36" s="8" t="s">
        <v>104</v>
      </c>
      <c r="D36" s="8" t="s">
        <v>14</v>
      </c>
      <c r="E36" s="8">
        <v>8</v>
      </c>
      <c r="F36" s="8"/>
      <c r="G36" s="8"/>
      <c r="H36" s="8" t="s">
        <v>51</v>
      </c>
      <c r="I36" s="9" t="s">
        <v>108</v>
      </c>
    </row>
    <row r="37" spans="1:9" x14ac:dyDescent="0.2">
      <c r="A37" s="8" t="s">
        <v>109</v>
      </c>
      <c r="B37" s="9" t="s">
        <v>110</v>
      </c>
      <c r="C37" s="8" t="s">
        <v>104</v>
      </c>
      <c r="D37" s="8" t="s">
        <v>14</v>
      </c>
      <c r="E37" s="8">
        <v>6</v>
      </c>
      <c r="F37" s="8"/>
      <c r="G37" s="8"/>
      <c r="H37" s="8" t="s">
        <v>51</v>
      </c>
      <c r="I37" s="9" t="s">
        <v>111</v>
      </c>
    </row>
    <row r="38" spans="1:9" x14ac:dyDescent="0.2">
      <c r="A38" s="8" t="s">
        <v>112</v>
      </c>
      <c r="B38" s="9" t="s">
        <v>113</v>
      </c>
      <c r="C38" s="8" t="s">
        <v>104</v>
      </c>
      <c r="D38" s="8" t="s">
        <v>50</v>
      </c>
      <c r="E38" s="8">
        <v>4</v>
      </c>
      <c r="F38" s="8"/>
      <c r="G38" s="8"/>
      <c r="H38" s="8" t="s">
        <v>51</v>
      </c>
      <c r="I38" s="9" t="s">
        <v>114</v>
      </c>
    </row>
    <row r="39" spans="1:9" x14ac:dyDescent="0.2">
      <c r="A39" s="8" t="s">
        <v>115</v>
      </c>
      <c r="B39" s="9" t="s">
        <v>116</v>
      </c>
      <c r="C39" s="8" t="s">
        <v>104</v>
      </c>
      <c r="D39" s="8" t="s">
        <v>50</v>
      </c>
      <c r="E39" s="8">
        <v>4</v>
      </c>
      <c r="F39" s="8"/>
      <c r="G39" s="8"/>
      <c r="H39" s="8" t="s">
        <v>51</v>
      </c>
      <c r="I39" s="9" t="s">
        <v>117</v>
      </c>
    </row>
    <row r="40" spans="1:9" x14ac:dyDescent="0.2">
      <c r="A40" s="4" t="s">
        <v>118</v>
      </c>
      <c r="B40" s="5" t="s">
        <v>119</v>
      </c>
      <c r="C40" s="4" t="s">
        <v>30</v>
      </c>
      <c r="D40" s="4" t="s">
        <v>14</v>
      </c>
      <c r="E40" s="4">
        <v>12</v>
      </c>
      <c r="F40" s="4"/>
      <c r="G40" s="4"/>
      <c r="H40" s="4" t="s">
        <v>51</v>
      </c>
      <c r="I40" s="5" t="s">
        <v>120</v>
      </c>
    </row>
    <row r="41" spans="1:9" x14ac:dyDescent="0.2">
      <c r="A41" s="20" t="s">
        <v>121</v>
      </c>
      <c r="B41" s="21"/>
      <c r="C41" s="21"/>
      <c r="D41" s="21"/>
      <c r="E41" s="21"/>
      <c r="F41" s="21"/>
      <c r="G41" s="21"/>
      <c r="H41" s="21"/>
      <c r="I41" s="22"/>
    </row>
    <row r="42" spans="1:9" x14ac:dyDescent="0.2">
      <c r="A42" s="10" t="s">
        <v>122</v>
      </c>
      <c r="B42" s="11" t="s">
        <v>123</v>
      </c>
      <c r="C42" s="10" t="s">
        <v>124</v>
      </c>
      <c r="D42" s="10" t="s">
        <v>14</v>
      </c>
      <c r="E42" s="10">
        <v>6</v>
      </c>
      <c r="F42" s="10"/>
      <c r="G42" s="10"/>
      <c r="H42" s="10" t="s">
        <v>51</v>
      </c>
      <c r="I42" s="11" t="s">
        <v>125</v>
      </c>
    </row>
    <row r="43" spans="1:9" x14ac:dyDescent="0.2">
      <c r="A43" s="10" t="s">
        <v>126</v>
      </c>
      <c r="B43" s="11" t="s">
        <v>127</v>
      </c>
      <c r="C43" s="10" t="s">
        <v>124</v>
      </c>
      <c r="D43" s="10" t="s">
        <v>14</v>
      </c>
      <c r="E43" s="10">
        <v>8</v>
      </c>
      <c r="F43" s="10"/>
      <c r="G43" s="10"/>
      <c r="H43" s="10" t="s">
        <v>51</v>
      </c>
      <c r="I43" s="11" t="s">
        <v>128</v>
      </c>
    </row>
    <row r="44" spans="1:9" x14ac:dyDescent="0.2">
      <c r="A44" s="10" t="s">
        <v>129</v>
      </c>
      <c r="B44" s="11" t="s">
        <v>130</v>
      </c>
      <c r="C44" s="10" t="s">
        <v>124</v>
      </c>
      <c r="D44" s="10" t="s">
        <v>14</v>
      </c>
      <c r="E44" s="10">
        <v>2</v>
      </c>
      <c r="F44" s="10"/>
      <c r="G44" s="10"/>
      <c r="H44" s="10" t="s">
        <v>16</v>
      </c>
      <c r="I44" s="11" t="s">
        <v>131</v>
      </c>
    </row>
    <row r="45" spans="1:9" x14ac:dyDescent="0.2">
      <c r="A45" s="10" t="s">
        <v>132</v>
      </c>
      <c r="B45" s="11" t="s">
        <v>133</v>
      </c>
      <c r="C45" s="10" t="s">
        <v>134</v>
      </c>
      <c r="D45" s="10" t="s">
        <v>14</v>
      </c>
      <c r="E45" s="10">
        <v>4</v>
      </c>
      <c r="F45" s="10"/>
      <c r="G45" s="10"/>
      <c r="H45" s="10" t="s">
        <v>51</v>
      </c>
      <c r="I45" s="11" t="s">
        <v>135</v>
      </c>
    </row>
    <row r="46" spans="1:9" x14ac:dyDescent="0.2">
      <c r="A46" s="10" t="s">
        <v>136</v>
      </c>
      <c r="B46" s="11" t="s">
        <v>137</v>
      </c>
      <c r="C46" s="10" t="s">
        <v>124</v>
      </c>
      <c r="D46" s="10" t="s">
        <v>14</v>
      </c>
      <c r="E46" s="10">
        <v>8</v>
      </c>
      <c r="F46" s="10"/>
      <c r="G46" s="10"/>
      <c r="H46" s="10" t="s">
        <v>51</v>
      </c>
      <c r="I46" s="11" t="s">
        <v>138</v>
      </c>
    </row>
    <row r="48" spans="1:9" x14ac:dyDescent="0.2">
      <c r="A48" s="25" t="s">
        <v>139</v>
      </c>
      <c r="B48" s="21"/>
      <c r="C48" s="21"/>
      <c r="D48" s="21"/>
      <c r="E48" s="21"/>
      <c r="F48" s="21"/>
      <c r="G48" s="21"/>
      <c r="H48" s="21"/>
      <c r="I48" s="22"/>
    </row>
    <row r="49" spans="1:6" x14ac:dyDescent="0.2">
      <c r="A49" s="23" t="s">
        <v>140</v>
      </c>
      <c r="B49" s="19"/>
      <c r="C49" s="19"/>
      <c r="D49" s="19"/>
      <c r="E49" s="12">
        <f>SUMIF(E5:E46,"&gt;0")</f>
        <v>230</v>
      </c>
      <c r="F49" s="16"/>
    </row>
    <row r="50" spans="1:6" x14ac:dyDescent="0.2">
      <c r="A50" s="18" t="s">
        <v>141</v>
      </c>
      <c r="B50" s="19"/>
      <c r="C50" s="19"/>
      <c r="D50" s="19"/>
      <c r="E50" s="13">
        <f>COUNTIF(H5:H46,"Done ✓")</f>
        <v>13</v>
      </c>
      <c r="F50" s="17"/>
    </row>
    <row r="51" spans="1:6" x14ac:dyDescent="0.2">
      <c r="A51" s="18" t="s">
        <v>142</v>
      </c>
      <c r="B51" s="19"/>
      <c r="C51" s="19"/>
      <c r="D51" s="19"/>
      <c r="E51" s="13">
        <f>COUNTIF(H5:H46,"In Progress")</f>
        <v>1</v>
      </c>
      <c r="F51" s="17"/>
    </row>
    <row r="52" spans="1:6" x14ac:dyDescent="0.2">
      <c r="A52" s="18" t="s">
        <v>143</v>
      </c>
      <c r="B52" s="19"/>
      <c r="C52" s="19"/>
      <c r="D52" s="19"/>
      <c r="E52" s="13">
        <f>COUNTIF(H5:H46,"To Do")</f>
        <v>21</v>
      </c>
      <c r="F52" s="17"/>
    </row>
  </sheetData>
  <mergeCells count="14">
    <mergeCell ref="A1:I1"/>
    <mergeCell ref="A48:I48"/>
    <mergeCell ref="A29:I29"/>
    <mergeCell ref="A34:I34"/>
    <mergeCell ref="A50:D50"/>
    <mergeCell ref="A2:I2"/>
    <mergeCell ref="A10:I10"/>
    <mergeCell ref="A52:D52"/>
    <mergeCell ref="A41:I41"/>
    <mergeCell ref="A51:D51"/>
    <mergeCell ref="A5:I5"/>
    <mergeCell ref="A23:I23"/>
    <mergeCell ref="A49:D49"/>
    <mergeCell ref="A17:I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8.83203125" defaultRowHeight="15" x14ac:dyDescent="0.2"/>
  <cols>
    <col min="1" max="1" width="20" customWidth="1"/>
    <col min="2" max="2" width="15" customWidth="1"/>
    <col min="3" max="4" width="18" customWidth="1"/>
    <col min="5" max="5" width="15" customWidth="1"/>
  </cols>
  <sheetData>
    <row r="1" spans="1:5" ht="19" x14ac:dyDescent="0.2">
      <c r="A1" s="27" t="s">
        <v>144</v>
      </c>
      <c r="B1" s="19"/>
      <c r="C1" s="19"/>
      <c r="D1" s="19"/>
      <c r="E1" s="19"/>
    </row>
    <row r="3" spans="1:5" x14ac:dyDescent="0.2">
      <c r="A3" s="1" t="s">
        <v>145</v>
      </c>
      <c r="B3" s="1" t="s">
        <v>146</v>
      </c>
      <c r="C3" s="1" t="s">
        <v>147</v>
      </c>
      <c r="D3" s="1" t="s">
        <v>148</v>
      </c>
      <c r="E3" s="1" t="s">
        <v>149</v>
      </c>
    </row>
    <row r="4" spans="1:5" x14ac:dyDescent="0.2">
      <c r="A4" s="14" t="s">
        <v>31</v>
      </c>
      <c r="B4" s="13">
        <v>48</v>
      </c>
      <c r="C4" s="13">
        <v>24</v>
      </c>
      <c r="D4" s="13">
        <v>24</v>
      </c>
      <c r="E4" s="13" t="s">
        <v>150</v>
      </c>
    </row>
    <row r="5" spans="1:5" x14ac:dyDescent="0.2">
      <c r="A5" s="14" t="s">
        <v>38</v>
      </c>
      <c r="B5" s="13">
        <v>44</v>
      </c>
      <c r="C5" s="13">
        <v>6</v>
      </c>
      <c r="D5" s="13">
        <v>38</v>
      </c>
      <c r="E5" s="13" t="s">
        <v>151</v>
      </c>
    </row>
    <row r="6" spans="1:5" x14ac:dyDescent="0.2">
      <c r="A6" s="14" t="s">
        <v>46</v>
      </c>
      <c r="B6" s="13">
        <v>34</v>
      </c>
      <c r="C6" s="13">
        <v>21</v>
      </c>
      <c r="D6" s="13">
        <v>13</v>
      </c>
      <c r="E6" s="13" t="s">
        <v>152</v>
      </c>
    </row>
    <row r="7" spans="1:5" x14ac:dyDescent="0.2">
      <c r="A7" s="14" t="s">
        <v>63</v>
      </c>
      <c r="B7" s="13">
        <v>34</v>
      </c>
      <c r="C7" s="13">
        <v>15</v>
      </c>
      <c r="D7" s="13">
        <v>19</v>
      </c>
      <c r="E7" s="13" t="s">
        <v>153</v>
      </c>
    </row>
    <row r="8" spans="1:5" x14ac:dyDescent="0.2">
      <c r="A8" s="15" t="s">
        <v>15</v>
      </c>
      <c r="B8" s="12">
        <v>21</v>
      </c>
      <c r="C8" s="12">
        <v>11</v>
      </c>
      <c r="D8" s="12">
        <v>10</v>
      </c>
      <c r="E8" s="12" t="s">
        <v>154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Effort Plan</vt:lpstr>
      <vt:lpstr>Team 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Ambar Irfan</cp:lastModifiedBy>
  <dcterms:created xsi:type="dcterms:W3CDTF">2025-11-19T13:54:45Z</dcterms:created>
  <dcterms:modified xsi:type="dcterms:W3CDTF">2025-11-19T14:22:36Z</dcterms:modified>
</cp:coreProperties>
</file>